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mrl3pXJ8OM1zMqjisN+8bDfed5Os6G9A6eQIVRMX4U="/>
    </ext>
  </extLst>
</workbook>
</file>

<file path=xl/sharedStrings.xml><?xml version="1.0" encoding="utf-8"?>
<sst xmlns="http://schemas.openxmlformats.org/spreadsheetml/2006/main" count="303" uniqueCount="123">
  <si>
    <t>SKN17-Final-4Team | Mood On: 대화 기반 감성 소품 추천 플랫폼</t>
  </si>
  <si>
    <t>팀원</t>
  </si>
  <si>
    <t>김주영, 성기혁, 양정민, 이가은, 임산별, 주수빈</t>
  </si>
  <si>
    <t>진척 현황</t>
  </si>
  <si>
    <t>중간 발표</t>
  </si>
  <si>
    <t>작성일</t>
  </si>
  <si>
    <t>2025.10.31</t>
  </si>
  <si>
    <t>최종 수정일</t>
  </si>
  <si>
    <t>2025.12.18</t>
  </si>
  <si>
    <t>2025.11.24</t>
  </si>
  <si>
    <t>시작일</t>
  </si>
  <si>
    <t>종료일</t>
  </si>
  <si>
    <t>진행 예정</t>
  </si>
  <si>
    <t>최종 발표</t>
  </si>
  <si>
    <t>총 프로젝트 기간: 8주(2025.10.28 ~ 2025.12.18)</t>
  </si>
  <si>
    <t>진행 완료</t>
  </si>
  <si>
    <t>수행 단계 구분</t>
  </si>
  <si>
    <t>주요 업무</t>
  </si>
  <si>
    <t>세부 업무</t>
  </si>
  <si>
    <t>주차</t>
  </si>
  <si>
    <t>작업 기간</t>
  </si>
  <si>
    <t>계획 진행 중요도</t>
  </si>
  <si>
    <t>진척율</t>
  </si>
  <si>
    <t>상태</t>
  </si>
  <si>
    <t>Month</t>
  </si>
  <si>
    <t>October</t>
  </si>
  <si>
    <t>November</t>
  </si>
  <si>
    <t>December</t>
  </si>
  <si>
    <t>Week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</si>
  <si>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</si>
  <si>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</si>
  <si>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</si>
  <si>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</si>
  <si>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</si>
  <si>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</si>
  <si>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</si>
  <si>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</si>
  <si>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Day</t>
  </si>
  <si>
    <t>1. 프로젝트 주제 선정
및 기획</t>
  </si>
  <si>
    <t>1.1 기획</t>
  </si>
  <si>
    <t>세부 주제 선정</t>
  </si>
  <si>
    <t>2025.10.28</t>
  </si>
  <si>
    <t>4일</t>
  </si>
  <si>
    <t>상</t>
  </si>
  <si>
    <t>완료</t>
  </si>
  <si>
    <t xml:space="preserve"> </t>
  </si>
  <si>
    <t>필요 기술 조사</t>
  </si>
  <si>
    <t>2025.10.30</t>
  </si>
  <si>
    <t>3일</t>
  </si>
  <si>
    <t>중</t>
  </si>
  <si>
    <t>구현 가능성 검토</t>
  </si>
  <si>
    <t>2025.10.29</t>
  </si>
  <si>
    <t>2일</t>
  </si>
  <si>
    <t>시장 조사</t>
  </si>
  <si>
    <t>1일</t>
  </si>
  <si>
    <t>WBS 작성</t>
  </si>
  <si>
    <t>요구사항 정의</t>
  </si>
  <si>
    <t>2025.11.03</t>
  </si>
  <si>
    <t>1.2 시스템설계</t>
  </si>
  <si>
    <t>프로젝트 기획서 작성</t>
  </si>
  <si>
    <t>시나리오 설계</t>
  </si>
  <si>
    <t>2. 데이터 수집 
및 전처리</t>
  </si>
  <si>
    <t>2.1 데이터 수집</t>
  </si>
  <si>
    <t>데이터 수집</t>
  </si>
  <si>
    <t>진행 중</t>
  </si>
  <si>
    <t>데이터 수집 보고서 작성</t>
  </si>
  <si>
    <t>2025.11.07</t>
  </si>
  <si>
    <t>5일</t>
  </si>
  <si>
    <t>DB 모델링</t>
  </si>
  <si>
    <t>2.2 데이터 전처리</t>
  </si>
  <si>
    <t>데이터 전처리</t>
  </si>
  <si>
    <t>2025.11.17</t>
  </si>
  <si>
    <t>11일</t>
  </si>
  <si>
    <t>데이터 수집 및 전처리 결과 보고서 작성</t>
  </si>
  <si>
    <t>3. 기능 개발 
및 웹 구현</t>
  </si>
  <si>
    <t>3.1 기능 개발</t>
  </si>
  <si>
    <t>시스템 아키텍쳐 설계</t>
  </si>
  <si>
    <t>2025.11.14</t>
  </si>
  <si>
    <t>RAG 구현을 위한 벡터DB 구축</t>
  </si>
  <si>
    <t>2025.11.20</t>
  </si>
  <si>
    <t>미완료</t>
  </si>
  <si>
    <t>LLM 활용 프롬프트 엔지니어링</t>
  </si>
  <si>
    <t>6일</t>
  </si>
  <si>
    <t>모델 테스트 계획서 작성</t>
  </si>
  <si>
    <t>2025.11.19</t>
  </si>
  <si>
    <t>모델 테스트 진행 및 결과 보고서 작성</t>
  </si>
  <si>
    <t>2025.11.21</t>
  </si>
  <si>
    <t>3.2 중간 발표</t>
  </si>
  <si>
    <t>LLM 활용 API 구현</t>
  </si>
  <si>
    <t>LLM 활용 데모페이지 구현</t>
  </si>
  <si>
    <t>중간평가 시연 및 발표 준비</t>
  </si>
  <si>
    <t>중간평가 기반 추가 계획 수립</t>
  </si>
  <si>
    <t>2025.11.25</t>
  </si>
  <si>
    <t>3.3 웹 개발</t>
  </si>
  <si>
    <t>화면 설계</t>
  </si>
  <si>
    <t>2025.11.26</t>
  </si>
  <si>
    <t>2025.12.01</t>
  </si>
  <si>
    <t>시스템 구성 설계</t>
  </si>
  <si>
    <t>2025.12.02</t>
  </si>
  <si>
    <t>프론트엔드 구현</t>
  </si>
  <si>
    <t>2025.12.10</t>
  </si>
  <si>
    <t>8일</t>
  </si>
  <si>
    <t>백엔드 구현</t>
  </si>
  <si>
    <t>2025.12.12</t>
  </si>
  <si>
    <t>10일</t>
  </si>
  <si>
    <t>시스템 테스트 계획서 작성</t>
  </si>
  <si>
    <t>2025.12.04</t>
  </si>
  <si>
    <t>2025.12.05</t>
  </si>
  <si>
    <t>4. 배포 및 검수</t>
  </si>
  <si>
    <t>4.1 테스트 및 배포</t>
  </si>
  <si>
    <t>기능 단위별 테스트 진행</t>
  </si>
  <si>
    <t>2025.12.08</t>
  </si>
  <si>
    <t>2025.12.15</t>
  </si>
  <si>
    <t>통합 테스트 진행 및 트러블 슈팅</t>
  </si>
  <si>
    <t>2025.12.11</t>
  </si>
  <si>
    <t>시스템 배포</t>
  </si>
  <si>
    <t>시스템 테스트 결과 보고서 작성</t>
  </si>
  <si>
    <t>5. 문서 작성 
및 최종 발표</t>
  </si>
  <si>
    <t>5.1 최종 발표 준비</t>
  </si>
  <si>
    <t>최종 프로젝트 PPT 제작 및 발표 준비</t>
  </si>
  <si>
    <t>2025.12.16</t>
  </si>
  <si>
    <t>시연 영상 제작</t>
  </si>
  <si>
    <t>2025.12.17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</si>
</sst>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29.0"/>
      <color theme="1"/>
      <name val="Arial"/>
    </font>
    <font/>
    <font>
      <color theme="1"/>
      <name val="Arial"/>
    </font>
    <font>
      <color theme="1"/>
      <name val="Aptos Narrow"/>
      <scheme val="minor"/>
    </font>
    <font>
      <sz val="11.0"/>
      <color rgb="FFFFFFFF"/>
      <name val="Malgun Gothic"/>
    </font>
    <font>
      <sz val="11.0"/>
      <color rgb="FFF3F3F3"/>
      <name val="Malgun Gothic"/>
    </font>
    <font>
      <sz val="11.0"/>
      <color theme="1"/>
      <name val="Malgun Gothic"/>
    </font>
  </fonts>
  <fills count="1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3D85C6"/>
        <bgColor rgb="FF3D85C6"/>
      </patternFill>
    </fill>
    <fill>
      <patternFill patternType="solid">
        <fgColor rgb="FF1C4587"/>
        <bgColor rgb="FF1C4587"/>
      </patternFill>
    </fill>
    <fill>
      <patternFill patternType="solid">
        <fgColor rgb="FF3C78D8"/>
        <bgColor rgb="FF3C78D8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rgb="FFB7D7A8"/>
        <bgColor rgb="FFB7D7A8"/>
      </patternFill>
    </fill>
    <fill>
      <patternFill patternType="solid">
        <fgColor rgb="FFFFFFFF"/>
        <bgColor rgb="FFFFFFFF"/>
      </patternFill>
    </fill>
  </fills>
  <borders count="2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000000"/>
      </right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9" fillId="0" fontId="3" numFmtId="0" xfId="0" applyAlignment="1" applyBorder="1" applyFont="1">
      <alignment horizontal="center" readingOrder="0"/>
    </xf>
    <xf borderId="12" fillId="4" fontId="4" numFmtId="0" xfId="0" applyAlignment="1" applyBorder="1" applyFill="1" applyFont="1">
      <alignment horizontal="center" vertical="center"/>
    </xf>
    <xf borderId="7" fillId="4" fontId="3" numFmtId="0" xfId="0" applyAlignment="1" applyBorder="1" applyFont="1">
      <alignment horizontal="center" readingOrder="0"/>
    </xf>
    <xf borderId="12" fillId="5" fontId="4" numFmtId="0" xfId="0" applyAlignment="1" applyBorder="1" applyFill="1" applyFont="1">
      <alignment horizontal="center" vertical="center"/>
    </xf>
    <xf borderId="13" fillId="6" fontId="5" numFmtId="0" xfId="0" applyAlignment="1" applyBorder="1" applyFill="1" applyFont="1">
      <alignment horizontal="center" vertical="center"/>
    </xf>
    <xf borderId="14" fillId="6" fontId="5" numFmtId="0" xfId="0" applyAlignment="1" applyBorder="1" applyFont="1">
      <alignment horizontal="center" vertical="center"/>
    </xf>
    <xf borderId="14" fillId="6" fontId="5" numFmtId="0" xfId="0" applyAlignment="1" applyBorder="1" applyFont="1">
      <alignment horizontal="center" readingOrder="0" vertical="center"/>
    </xf>
    <xf borderId="15" fillId="6" fontId="5" numFmtId="0" xfId="0" applyAlignment="1" applyBorder="1" applyFont="1">
      <alignment horizontal="center" vertical="center"/>
    </xf>
    <xf borderId="2" fillId="7" fontId="6" numFmtId="0" xfId="0" applyAlignment="1" applyBorder="1" applyFill="1" applyFont="1">
      <alignment horizontal="center" vertical="center"/>
    </xf>
    <xf borderId="2" fillId="7" fontId="5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0" fillId="6" fontId="5" numFmtId="0" xfId="0" applyAlignment="1" applyFont="1">
      <alignment horizontal="center" vertical="center"/>
    </xf>
    <xf borderId="0" fillId="8" fontId="5" numFmtId="0" xfId="0" applyAlignment="1" applyFill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12" fillId="2" fontId="7" numFmtId="0" xfId="0" applyAlignment="1" applyBorder="1" applyFont="1">
      <alignment horizontal="center" vertical="center"/>
    </xf>
    <xf borderId="12" fillId="3" fontId="7" numFmtId="0" xfId="0" applyAlignment="1" applyBorder="1" applyFont="1">
      <alignment horizontal="center" vertical="center"/>
    </xf>
    <xf borderId="12" fillId="4" fontId="7" numFmtId="0" xfId="0" applyAlignment="1" applyBorder="1" applyFont="1">
      <alignment horizontal="center" vertical="center"/>
    </xf>
    <xf borderId="22" fillId="9" fontId="7" numFmtId="0" xfId="0" applyAlignment="1" applyBorder="1" applyFill="1" applyFont="1">
      <alignment horizontal="center" shrinkToFit="0" vertical="center" wrapText="1"/>
    </xf>
    <xf borderId="4" fillId="10" fontId="7" numFmtId="0" xfId="0" applyAlignment="1" applyBorder="1" applyFill="1" applyFont="1">
      <alignment horizontal="left" vertical="center"/>
    </xf>
    <xf borderId="12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23" fillId="0" fontId="2" numFmtId="0" xfId="0" applyBorder="1" applyFont="1"/>
    <xf borderId="12" fillId="0" fontId="7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readingOrder="0"/>
    </xf>
    <xf borderId="12" fillId="0" fontId="3" numFmtId="9" xfId="0" applyAlignment="1" applyBorder="1" applyFont="1" applyNumberFormat="1">
      <alignment horizontal="center" readingOrder="0" vertical="center"/>
    </xf>
    <xf borderId="12" fillId="5" fontId="7" numFmtId="0" xfId="0" applyAlignment="1" applyBorder="1" applyFont="1">
      <alignment horizontal="center" vertical="center"/>
    </xf>
    <xf borderId="12" fillId="11" fontId="7" numFmtId="0" xfId="0" applyAlignment="1" applyBorder="1" applyFill="1" applyFont="1">
      <alignment horizontal="center" vertical="center"/>
    </xf>
    <xf borderId="12" fillId="0" fontId="4" numFmtId="0" xfId="0" applyBorder="1" applyFont="1"/>
    <xf borderId="12" fillId="0" fontId="4" numFmtId="0" xfId="0" applyAlignment="1" applyBorder="1" applyFont="1">
      <alignment horizontal="center" vertical="center"/>
    </xf>
    <xf borderId="4" fillId="9" fontId="7" numFmtId="0" xfId="0" applyAlignment="1" applyBorder="1" applyFont="1">
      <alignment horizontal="left" readingOrder="0" vertical="center"/>
    </xf>
    <xf borderId="12" fillId="12" fontId="4" numFmtId="0" xfId="0" applyAlignment="1" applyBorder="1" applyFill="1" applyFont="1">
      <alignment horizontal="center" vertical="center"/>
    </xf>
    <xf borderId="22" fillId="9" fontId="7" numFmtId="0" xfId="0" applyAlignment="1" applyBorder="1" applyFont="1">
      <alignment horizontal="center" readingOrder="0" vertical="center"/>
    </xf>
    <xf borderId="12" fillId="12" fontId="7" numFmtId="0" xfId="0" applyAlignment="1" applyBorder="1" applyFont="1">
      <alignment horizontal="center" readingOrder="0" vertical="center"/>
    </xf>
    <xf borderId="4" fillId="10" fontId="7" numFmtId="0" xfId="0" applyAlignment="1" applyBorder="1" applyFont="1">
      <alignment horizontal="left" readingOrder="0" vertical="center"/>
    </xf>
    <xf borderId="24" fillId="0" fontId="2" numFmtId="0" xfId="0" applyBorder="1" applyFont="1"/>
    <xf borderId="22" fillId="9" fontId="7" numFmtId="0" xfId="0" applyAlignment="1" applyBorder="1" applyFont="1">
      <alignment horizontal="center" vertical="center"/>
    </xf>
    <xf borderId="12" fillId="12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0" fillId="12" fontId="7" numFmtId="0" xfId="0" applyAlignment="1" applyFont="1">
      <alignment horizontal="left" vertic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21.38"/>
    <col customWidth="1" min="3" max="3" width="17.75"/>
    <col customWidth="1" min="4" max="4" width="36.5"/>
    <col customWidth="1" hidden="1" min="5" max="5" width="10.13"/>
    <col customWidth="1" min="6" max="6" width="13.0"/>
    <col customWidth="1" min="7" max="7" width="12.63"/>
    <col customWidth="1" hidden="1" min="8" max="8" width="12.0"/>
    <col customWidth="1" hidden="1" min="9" max="9" width="16.5"/>
    <col customWidth="1" hidden="1" min="10" max="10" width="9.13"/>
    <col customWidth="1" min="11" max="11" width="9.75"/>
    <col customWidth="1" min="12" max="57" width="7.63"/>
  </cols>
  <sheetData>
    <row r="1" ht="16.5" customHeight="1"/>
    <row r="2" ht="16.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Q2" s="4" t="s">
        <v>1</v>
      </c>
      <c r="R2" s="5"/>
      <c r="S2" s="4" t="s">
        <v>2</v>
      </c>
      <c r="T2" s="6"/>
      <c r="U2" s="6"/>
      <c r="V2" s="6"/>
      <c r="W2" s="6"/>
      <c r="X2" s="5"/>
      <c r="Y2" s="7"/>
      <c r="Z2" s="8" t="s">
        <v>3</v>
      </c>
      <c r="AA2" s="2"/>
      <c r="AB2" s="3"/>
      <c r="AD2" s="9" t="s">
        <v>4</v>
      </c>
      <c r="AE2" s="3"/>
    </row>
    <row r="3" ht="16.5" customHeight="1">
      <c r="B3" s="10"/>
      <c r="O3" s="11"/>
      <c r="Q3" s="4" t="s">
        <v>5</v>
      </c>
      <c r="R3" s="5"/>
      <c r="S3" s="4" t="s">
        <v>6</v>
      </c>
      <c r="T3" s="5"/>
      <c r="U3" s="4" t="s">
        <v>7</v>
      </c>
      <c r="V3" s="5"/>
      <c r="W3" s="4" t="s">
        <v>8</v>
      </c>
      <c r="X3" s="5"/>
      <c r="Z3" s="12"/>
      <c r="AA3" s="13"/>
      <c r="AB3" s="14"/>
      <c r="AD3" s="15" t="s">
        <v>9</v>
      </c>
      <c r="AE3" s="14"/>
    </row>
    <row r="4" ht="16.5" customHeight="1">
      <c r="B4" s="10"/>
      <c r="O4" s="11"/>
      <c r="Q4" s="4" t="s">
        <v>10</v>
      </c>
      <c r="R4" s="5"/>
      <c r="S4" s="4" t="s">
        <v>6</v>
      </c>
      <c r="T4" s="5"/>
      <c r="U4" s="4" t="s">
        <v>11</v>
      </c>
      <c r="V4" s="5"/>
      <c r="W4" s="4" t="s">
        <v>8</v>
      </c>
      <c r="X4" s="5"/>
      <c r="Z4" s="4" t="s">
        <v>12</v>
      </c>
      <c r="AA4" s="5"/>
      <c r="AB4" s="16"/>
      <c r="AD4" s="17" t="s">
        <v>13</v>
      </c>
      <c r="AE4" s="11"/>
    </row>
    <row r="5" ht="16.5" customHeight="1">
      <c r="B5" s="12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/>
      <c r="Q5" s="4" t="s">
        <v>14</v>
      </c>
      <c r="R5" s="6"/>
      <c r="S5" s="6"/>
      <c r="T5" s="6"/>
      <c r="U5" s="6"/>
      <c r="V5" s="6"/>
      <c r="W5" s="6"/>
      <c r="X5" s="5"/>
      <c r="Z5" s="4" t="s">
        <v>15</v>
      </c>
      <c r="AA5" s="5"/>
      <c r="AB5" s="18"/>
      <c r="AD5" s="15" t="s">
        <v>8</v>
      </c>
      <c r="AE5" s="14"/>
    </row>
    <row r="6" ht="16.5" customHeight="1"/>
    <row r="7" ht="16.5" customHeight="1">
      <c r="B7" s="19" t="s">
        <v>16</v>
      </c>
      <c r="C7" s="20" t="s">
        <v>17</v>
      </c>
      <c r="D7" s="20" t="s">
        <v>18</v>
      </c>
      <c r="E7" s="20" t="s">
        <v>19</v>
      </c>
      <c r="F7" s="20" t="s">
        <v>10</v>
      </c>
      <c r="G7" s="20" t="s">
        <v>11</v>
      </c>
      <c r="H7" s="20" t="s">
        <v>20</v>
      </c>
      <c r="I7" s="21" t="s">
        <v>21</v>
      </c>
      <c r="J7" s="20" t="s">
        <v>22</v>
      </c>
      <c r="K7" s="22" t="s">
        <v>23</v>
      </c>
      <c r="L7" s="23" t="s">
        <v>24</v>
      </c>
      <c r="M7" s="24" t="s">
        <v>25</v>
      </c>
      <c r="N7" s="2"/>
      <c r="O7" s="2"/>
      <c r="P7" s="2"/>
      <c r="Q7" s="24" t="s">
        <v>26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4" t="s">
        <v>27</v>
      </c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3"/>
      <c r="AY7" s="25"/>
      <c r="AZ7" s="25"/>
      <c r="BA7" s="25"/>
      <c r="BB7" s="25"/>
      <c r="BC7" s="26"/>
      <c r="BD7" s="26"/>
      <c r="BE7" s="26"/>
    </row>
    <row r="8" ht="16.5" customHeight="1">
      <c r="B8" s="27"/>
      <c r="C8" s="28"/>
      <c r="D8" s="28"/>
      <c r="E8" s="28"/>
      <c r="F8" s="28"/>
      <c r="G8" s="28"/>
      <c r="H8" s="28"/>
      <c r="I8" s="28"/>
      <c r="J8" s="28"/>
      <c r="K8" s="29"/>
      <c r="L8" s="30" t="s">
        <v>28</v>
      </c>
      <c r="M8" s="31" t="s">
        <v>29</v>
      </c>
      <c r="Q8" s="31" t="s">
        <v>30</v>
      </c>
      <c r="V8" s="31" t="s">
        <v>31</v>
      </c>
      <c r="AA8" s="31" t="s">
        <v>32</v>
      </c>
      <c r="AF8" s="31" t="s">
        <v>33</v>
      </c>
      <c r="AK8" s="31" t="s">
        <v>34</v>
      </c>
      <c r="AP8" s="31" t="s">
        <v>35</v>
      </c>
      <c r="AU8" s="31" t="s">
        <v>36</v>
      </c>
      <c r="AX8" s="11"/>
      <c r="AY8" s="25"/>
      <c r="AZ8" s="25"/>
      <c r="BA8" s="25"/>
      <c r="BB8" s="25"/>
      <c r="BC8" s="26"/>
      <c r="BD8" s="26"/>
      <c r="BE8" s="26"/>
    </row>
    <row r="9" ht="16.5" customHeight="1">
      <c r="B9" s="32"/>
      <c r="C9" s="33"/>
      <c r="D9" s="33"/>
      <c r="E9" s="33"/>
      <c r="F9" s="33"/>
      <c r="G9" s="33"/>
      <c r="H9" s="33"/>
      <c r="I9" s="33"/>
      <c r="J9" s="33"/>
      <c r="K9" s="34"/>
      <c r="L9" s="35" t="s">
        <v>37</v>
      </c>
      <c r="M9" s="35">
        <v>28.0</v>
      </c>
      <c r="N9" s="35">
        <v>29.0</v>
      </c>
      <c r="O9" s="35">
        <v>30.0</v>
      </c>
      <c r="P9" s="35">
        <v>31.0</v>
      </c>
      <c r="Q9" s="35">
        <v>3.0</v>
      </c>
      <c r="R9" s="35">
        <v>4.0</v>
      </c>
      <c r="S9" s="35">
        <v>5.0</v>
      </c>
      <c r="T9" s="35">
        <v>6.0</v>
      </c>
      <c r="U9" s="35">
        <v>7.0</v>
      </c>
      <c r="V9" s="35">
        <v>10.0</v>
      </c>
      <c r="W9" s="35">
        <v>11.0</v>
      </c>
      <c r="X9" s="35">
        <v>12.0</v>
      </c>
      <c r="Y9" s="35">
        <v>13.0</v>
      </c>
      <c r="Z9" s="35">
        <v>14.0</v>
      </c>
      <c r="AA9" s="35">
        <v>17.0</v>
      </c>
      <c r="AB9" s="35">
        <v>18.0</v>
      </c>
      <c r="AC9" s="35">
        <v>19.0</v>
      </c>
      <c r="AD9" s="35">
        <v>20.0</v>
      </c>
      <c r="AE9" s="35">
        <v>21.0</v>
      </c>
      <c r="AF9" s="36">
        <v>24.0</v>
      </c>
      <c r="AG9" s="35">
        <v>25.0</v>
      </c>
      <c r="AH9" s="35">
        <v>26.0</v>
      </c>
      <c r="AI9" s="35">
        <v>27.0</v>
      </c>
      <c r="AJ9" s="35">
        <v>28.0</v>
      </c>
      <c r="AK9" s="35">
        <v>1.0</v>
      </c>
      <c r="AL9" s="35">
        <v>2.0</v>
      </c>
      <c r="AM9" s="35">
        <v>3.0</v>
      </c>
      <c r="AN9" s="35">
        <v>4.0</v>
      </c>
      <c r="AO9" s="35">
        <v>5.0</v>
      </c>
      <c r="AP9" s="35">
        <v>8.0</v>
      </c>
      <c r="AQ9" s="35">
        <v>9.0</v>
      </c>
      <c r="AR9" s="35">
        <v>10.0</v>
      </c>
      <c r="AS9" s="35">
        <v>11.0</v>
      </c>
      <c r="AT9" s="35">
        <v>12.0</v>
      </c>
      <c r="AU9" s="35">
        <v>15.0</v>
      </c>
      <c r="AV9" s="35">
        <v>16.0</v>
      </c>
      <c r="AW9" s="35">
        <v>17.0</v>
      </c>
      <c r="AX9" s="37">
        <v>18.0</v>
      </c>
      <c r="AY9" s="25"/>
      <c r="AZ9" s="25"/>
      <c r="BA9" s="25"/>
      <c r="BB9" s="25"/>
      <c r="BC9" s="26"/>
      <c r="BD9" s="26"/>
      <c r="BE9" s="26"/>
    </row>
    <row r="10" ht="14.25" customHeight="1">
      <c r="B10" s="38" t="s">
        <v>38</v>
      </c>
      <c r="C10" s="39" t="s">
        <v>39</v>
      </c>
      <c r="D10" s="6"/>
      <c r="E10" s="6"/>
      <c r="F10" s="6"/>
      <c r="G10" s="6"/>
      <c r="H10" s="6"/>
      <c r="I10" s="6"/>
      <c r="J10" s="6"/>
      <c r="K10" s="5"/>
      <c r="L10" s="40"/>
      <c r="M10" s="40"/>
      <c r="N10" s="40"/>
      <c r="O10" s="40"/>
      <c r="P10" s="40"/>
      <c r="Q10" s="41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25"/>
      <c r="AZ10" s="25"/>
      <c r="BA10" s="25"/>
      <c r="BB10" s="25"/>
      <c r="BC10" s="26"/>
      <c r="BD10" s="26"/>
      <c r="BE10" s="26"/>
    </row>
    <row r="11" ht="16.5" customHeight="1">
      <c r="B11" s="42"/>
      <c r="C11" s="40"/>
      <c r="D11" s="43" t="s">
        <v>40</v>
      </c>
      <c r="E11" s="40" t="s">
        <v>29</v>
      </c>
      <c r="F11" s="43" t="s">
        <v>41</v>
      </c>
      <c r="G11" s="43" t="s">
        <v>6</v>
      </c>
      <c r="H11" s="44" t="s">
        <v>42</v>
      </c>
      <c r="I11" s="45" t="s">
        <v>43</v>
      </c>
      <c r="J11" s="46">
        <f t="shared" ref="J11:J16" si="1">IF(K11="완료", 1, IF(K11="진행 중", 0.5, IF(K11="미완료", 0, "")))</f>
        <v>1</v>
      </c>
      <c r="K11" s="44" t="s">
        <v>44</v>
      </c>
      <c r="L11" s="40"/>
      <c r="M11" s="47"/>
      <c r="N11" s="47"/>
      <c r="O11" s="47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3" t="s">
        <v>45</v>
      </c>
      <c r="AS11" s="40"/>
      <c r="AT11" s="40"/>
      <c r="AU11" s="40"/>
      <c r="AV11" s="40"/>
      <c r="AW11" s="40"/>
      <c r="AX11" s="40"/>
      <c r="AY11" s="25"/>
      <c r="AZ11" s="25"/>
      <c r="BA11" s="25"/>
      <c r="BB11" s="25"/>
      <c r="BC11" s="26"/>
      <c r="BD11" s="26"/>
      <c r="BE11" s="26"/>
    </row>
    <row r="12" ht="16.5" customHeight="1">
      <c r="B12" s="42"/>
      <c r="C12" s="40"/>
      <c r="D12" s="40" t="s">
        <v>46</v>
      </c>
      <c r="E12" s="40" t="s">
        <v>29</v>
      </c>
      <c r="F12" s="43" t="s">
        <v>41</v>
      </c>
      <c r="G12" s="43" t="s">
        <v>47</v>
      </c>
      <c r="H12" s="43" t="s">
        <v>48</v>
      </c>
      <c r="I12" s="45" t="s">
        <v>49</v>
      </c>
      <c r="J12" s="46">
        <f t="shared" si="1"/>
        <v>1</v>
      </c>
      <c r="K12" s="44" t="s">
        <v>44</v>
      </c>
      <c r="L12" s="40"/>
      <c r="M12" s="48"/>
      <c r="N12" s="47"/>
      <c r="O12" s="47"/>
      <c r="P12" s="49"/>
      <c r="Q12" s="49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25"/>
      <c r="AZ12" s="25"/>
      <c r="BA12" s="25"/>
      <c r="BB12" s="25"/>
      <c r="BC12" s="26"/>
      <c r="BD12" s="26"/>
      <c r="BE12" s="26"/>
    </row>
    <row r="13" ht="16.5" customHeight="1">
      <c r="B13" s="42"/>
      <c r="C13" s="40"/>
      <c r="D13" s="40" t="s">
        <v>50</v>
      </c>
      <c r="E13" s="40" t="s">
        <v>29</v>
      </c>
      <c r="F13" s="43" t="s">
        <v>51</v>
      </c>
      <c r="G13" s="43" t="s">
        <v>47</v>
      </c>
      <c r="H13" s="43" t="s">
        <v>52</v>
      </c>
      <c r="I13" s="45" t="s">
        <v>49</v>
      </c>
      <c r="J13" s="46">
        <f t="shared" si="1"/>
        <v>1</v>
      </c>
      <c r="K13" s="44" t="s">
        <v>44</v>
      </c>
      <c r="L13" s="40"/>
      <c r="M13" s="40"/>
      <c r="N13" s="47"/>
      <c r="O13" s="47"/>
      <c r="P13" s="49"/>
      <c r="Q13" s="49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25"/>
      <c r="AZ13" s="25"/>
      <c r="BA13" s="25"/>
      <c r="BB13" s="25"/>
      <c r="BC13" s="26"/>
      <c r="BD13" s="26"/>
      <c r="BE13" s="26"/>
    </row>
    <row r="14" ht="16.5" customHeight="1">
      <c r="B14" s="42"/>
      <c r="C14" s="40"/>
      <c r="D14" s="44" t="s">
        <v>53</v>
      </c>
      <c r="E14" s="40" t="s">
        <v>29</v>
      </c>
      <c r="F14" s="43" t="s">
        <v>6</v>
      </c>
      <c r="G14" s="43" t="s">
        <v>6</v>
      </c>
      <c r="H14" s="44" t="s">
        <v>54</v>
      </c>
      <c r="I14" s="45" t="s">
        <v>49</v>
      </c>
      <c r="J14" s="46">
        <f t="shared" si="1"/>
        <v>1</v>
      </c>
      <c r="K14" s="44" t="s">
        <v>44</v>
      </c>
      <c r="L14" s="50"/>
      <c r="M14" s="50"/>
      <c r="N14" s="49"/>
      <c r="O14" s="49"/>
      <c r="P14" s="47"/>
      <c r="Q14" s="49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25"/>
      <c r="AZ14" s="25"/>
      <c r="BA14" s="25"/>
      <c r="BB14" s="25"/>
      <c r="BC14" s="26"/>
      <c r="BD14" s="26"/>
      <c r="BE14" s="26"/>
    </row>
    <row r="15" ht="16.5" customHeight="1">
      <c r="B15" s="42"/>
      <c r="C15" s="40"/>
      <c r="D15" s="40" t="s">
        <v>55</v>
      </c>
      <c r="E15" s="40" t="s">
        <v>29</v>
      </c>
      <c r="F15" s="43" t="s">
        <v>6</v>
      </c>
      <c r="G15" s="43" t="s">
        <v>6</v>
      </c>
      <c r="H15" s="43" t="s">
        <v>54</v>
      </c>
      <c r="I15" s="45" t="s">
        <v>43</v>
      </c>
      <c r="J15" s="46">
        <f t="shared" si="1"/>
        <v>1</v>
      </c>
      <c r="K15" s="44" t="s">
        <v>44</v>
      </c>
      <c r="L15" s="40"/>
      <c r="M15" s="40"/>
      <c r="N15" s="40"/>
      <c r="O15" s="40"/>
      <c r="P15" s="47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25"/>
      <c r="AZ15" s="25"/>
      <c r="BA15" s="25"/>
      <c r="BB15" s="25"/>
      <c r="BC15" s="26"/>
      <c r="BD15" s="26"/>
      <c r="BE15" s="26"/>
    </row>
    <row r="16" ht="16.5" customHeight="1">
      <c r="B16" s="42"/>
      <c r="C16" s="40"/>
      <c r="D16" s="43" t="s">
        <v>56</v>
      </c>
      <c r="E16" s="40" t="s">
        <v>29</v>
      </c>
      <c r="F16" s="43" t="s">
        <v>6</v>
      </c>
      <c r="G16" s="43" t="s">
        <v>57</v>
      </c>
      <c r="H16" s="43" t="s">
        <v>52</v>
      </c>
      <c r="I16" s="45" t="s">
        <v>43</v>
      </c>
      <c r="J16" s="46">
        <f t="shared" si="1"/>
        <v>1</v>
      </c>
      <c r="K16" s="44" t="s">
        <v>44</v>
      </c>
      <c r="L16" s="40"/>
      <c r="M16" s="40"/>
      <c r="N16" s="40"/>
      <c r="O16" s="40"/>
      <c r="P16" s="47"/>
      <c r="Q16" s="18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25"/>
      <c r="AZ16" s="25"/>
      <c r="BA16" s="25"/>
      <c r="BB16" s="25"/>
      <c r="BC16" s="26"/>
      <c r="BD16" s="26"/>
      <c r="BE16" s="26"/>
    </row>
    <row r="17" ht="16.5" customHeight="1">
      <c r="B17" s="42"/>
      <c r="C17" s="51" t="s">
        <v>58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5"/>
      <c r="AY17" s="25"/>
      <c r="AZ17" s="25"/>
      <c r="BA17" s="25"/>
      <c r="BB17" s="25"/>
      <c r="BC17" s="26"/>
      <c r="BD17" s="26"/>
      <c r="BE17" s="26"/>
    </row>
    <row r="18" ht="16.5" customHeight="1">
      <c r="B18" s="42"/>
      <c r="C18" s="43"/>
      <c r="D18" s="43" t="s">
        <v>59</v>
      </c>
      <c r="E18" s="40" t="s">
        <v>30</v>
      </c>
      <c r="F18" s="43" t="s">
        <v>6</v>
      </c>
      <c r="G18" s="43" t="s">
        <v>57</v>
      </c>
      <c r="H18" s="43" t="s">
        <v>52</v>
      </c>
      <c r="I18" s="45" t="s">
        <v>43</v>
      </c>
      <c r="J18" s="46">
        <f t="shared" ref="J18:J19" si="2">IF(K18="완료", 1, IF(K18="진행 중", 0.5, IF(K18="미완료", 0, "")))</f>
        <v>1</v>
      </c>
      <c r="K18" s="44" t="s">
        <v>44</v>
      </c>
      <c r="L18" s="40"/>
      <c r="M18" s="40"/>
      <c r="N18" s="40"/>
      <c r="O18" s="52"/>
      <c r="P18" s="18"/>
      <c r="Q18" s="18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25"/>
      <c r="AZ18" s="25"/>
      <c r="BA18" s="25"/>
      <c r="BB18" s="25"/>
      <c r="BC18" s="26"/>
      <c r="BD18" s="26"/>
      <c r="BE18" s="26"/>
    </row>
    <row r="19" ht="16.5" customHeight="1">
      <c r="B19" s="42"/>
      <c r="D19" s="43" t="s">
        <v>60</v>
      </c>
      <c r="E19" s="40" t="s">
        <v>30</v>
      </c>
      <c r="F19" s="43" t="s">
        <v>6</v>
      </c>
      <c r="G19" s="43" t="s">
        <v>57</v>
      </c>
      <c r="H19" s="43" t="s">
        <v>52</v>
      </c>
      <c r="I19" s="45" t="s">
        <v>43</v>
      </c>
      <c r="J19" s="46">
        <f t="shared" si="2"/>
        <v>1</v>
      </c>
      <c r="K19" s="44" t="s">
        <v>44</v>
      </c>
      <c r="L19" s="40"/>
      <c r="M19" s="40"/>
      <c r="N19" s="40"/>
      <c r="P19" s="18"/>
      <c r="Q19" s="18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25"/>
      <c r="AZ19" s="25"/>
      <c r="BA19" s="25"/>
      <c r="BB19" s="25"/>
      <c r="BC19" s="26"/>
      <c r="BD19" s="26"/>
      <c r="BE19" s="26"/>
    </row>
    <row r="20" ht="16.5" customHeight="1">
      <c r="B20" s="53" t="s">
        <v>61</v>
      </c>
      <c r="C20" s="39" t="s">
        <v>62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5"/>
      <c r="AY20" s="25"/>
      <c r="AZ20" s="25"/>
      <c r="BA20" s="25"/>
      <c r="BB20" s="25"/>
      <c r="BC20" s="26"/>
      <c r="BD20" s="26"/>
      <c r="BE20" s="26"/>
    </row>
    <row r="21" ht="16.5" customHeight="1">
      <c r="B21" s="42"/>
      <c r="C21" s="40"/>
      <c r="D21" s="40" t="s">
        <v>63</v>
      </c>
      <c r="E21" s="40" t="s">
        <v>30</v>
      </c>
      <c r="F21" s="43" t="s">
        <v>6</v>
      </c>
      <c r="G21" s="43" t="s">
        <v>57</v>
      </c>
      <c r="H21" s="43" t="s">
        <v>52</v>
      </c>
      <c r="I21" s="45" t="s">
        <v>43</v>
      </c>
      <c r="J21" s="46">
        <f t="shared" ref="J21:J23" si="3">IF(K21="완료", 1, IF(K21="진행 중", 0.5, IF(K21="미완료", 0, "")))</f>
        <v>0.5</v>
      </c>
      <c r="K21" s="44" t="s">
        <v>64</v>
      </c>
      <c r="L21" s="40"/>
      <c r="M21" s="40"/>
      <c r="N21" s="40"/>
      <c r="O21" s="40"/>
      <c r="P21" s="18"/>
      <c r="Q21" s="18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25"/>
      <c r="AZ21" s="25"/>
      <c r="BA21" s="25"/>
      <c r="BB21" s="25"/>
      <c r="BC21" s="26"/>
      <c r="BD21" s="26"/>
      <c r="BE21" s="26"/>
    </row>
    <row r="22" ht="16.5" customHeight="1">
      <c r="B22" s="42"/>
      <c r="C22" s="40"/>
      <c r="D22" s="43" t="s">
        <v>65</v>
      </c>
      <c r="E22" s="40" t="s">
        <v>30</v>
      </c>
      <c r="F22" s="43" t="s">
        <v>57</v>
      </c>
      <c r="G22" s="43" t="s">
        <v>66</v>
      </c>
      <c r="H22" s="43" t="s">
        <v>67</v>
      </c>
      <c r="I22" s="45" t="s">
        <v>49</v>
      </c>
      <c r="J22" s="46">
        <f t="shared" si="3"/>
        <v>0.5</v>
      </c>
      <c r="K22" s="44" t="s">
        <v>64</v>
      </c>
      <c r="L22" s="40"/>
      <c r="M22" s="40"/>
      <c r="N22" s="40"/>
      <c r="O22" s="40"/>
      <c r="P22" s="40"/>
      <c r="Q22" s="18"/>
      <c r="R22" s="18"/>
      <c r="S22" s="18"/>
      <c r="T22" s="18"/>
      <c r="U22" s="18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25"/>
      <c r="AZ22" s="25"/>
      <c r="BA22" s="25"/>
      <c r="BB22" s="25"/>
      <c r="BC22" s="26"/>
      <c r="BD22" s="26"/>
      <c r="BE22" s="26"/>
    </row>
    <row r="23" ht="16.5" customHeight="1">
      <c r="B23" s="42"/>
      <c r="C23" s="40"/>
      <c r="D23" s="54" t="s">
        <v>68</v>
      </c>
      <c r="E23" s="40" t="s">
        <v>30</v>
      </c>
      <c r="F23" s="43" t="s">
        <v>57</v>
      </c>
      <c r="G23" s="43" t="s">
        <v>66</v>
      </c>
      <c r="H23" s="43" t="s">
        <v>67</v>
      </c>
      <c r="I23" s="45" t="s">
        <v>43</v>
      </c>
      <c r="J23" s="46">
        <f t="shared" si="3"/>
        <v>1</v>
      </c>
      <c r="K23" s="44" t="s">
        <v>44</v>
      </c>
      <c r="L23" s="40"/>
      <c r="M23" s="40"/>
      <c r="N23" s="40"/>
      <c r="O23" s="40"/>
      <c r="P23" s="40"/>
      <c r="Q23" s="18"/>
      <c r="R23" s="18"/>
      <c r="S23" s="18"/>
      <c r="T23" s="18"/>
      <c r="U23" s="18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25"/>
      <c r="AZ23" s="25"/>
      <c r="BA23" s="25"/>
      <c r="BB23" s="25"/>
      <c r="BC23" s="26"/>
      <c r="BD23" s="26"/>
      <c r="BE23" s="26"/>
    </row>
    <row r="24" ht="16.5" customHeight="1">
      <c r="B24" s="42"/>
      <c r="C24" s="39" t="s">
        <v>69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5"/>
      <c r="AY24" s="25"/>
      <c r="AZ24" s="25"/>
      <c r="BA24" s="25"/>
      <c r="BB24" s="25"/>
      <c r="BC24" s="26"/>
      <c r="BD24" s="26"/>
      <c r="BE24" s="26"/>
    </row>
    <row r="25" ht="16.5" customHeight="1">
      <c r="B25" s="42"/>
      <c r="C25" s="40"/>
      <c r="D25" s="40" t="s">
        <v>70</v>
      </c>
      <c r="E25" s="40" t="s">
        <v>30</v>
      </c>
      <c r="F25" s="43" t="s">
        <v>57</v>
      </c>
      <c r="G25" s="43" t="s">
        <v>71</v>
      </c>
      <c r="H25" s="43" t="s">
        <v>72</v>
      </c>
      <c r="I25" s="45" t="s">
        <v>43</v>
      </c>
      <c r="J25" s="46">
        <f t="shared" ref="J25:J26" si="4">IF(K25="완료", 1, IF(K25="진행 중", 0.5, IF(K25="미완료", 0, "")))</f>
        <v>0.5</v>
      </c>
      <c r="K25" s="44" t="s">
        <v>64</v>
      </c>
      <c r="L25" s="40"/>
      <c r="M25" s="40"/>
      <c r="N25" s="40"/>
      <c r="O25" s="40"/>
      <c r="P25" s="40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25"/>
      <c r="AZ25" s="25"/>
      <c r="BA25" s="25"/>
      <c r="BB25" s="25"/>
      <c r="BC25" s="26"/>
      <c r="BD25" s="26"/>
      <c r="BE25" s="26"/>
    </row>
    <row r="26" ht="16.5" customHeight="1">
      <c r="B26" s="42"/>
      <c r="C26" s="40"/>
      <c r="D26" s="43" t="s">
        <v>73</v>
      </c>
      <c r="E26" s="43" t="s">
        <v>32</v>
      </c>
      <c r="F26" s="43" t="s">
        <v>71</v>
      </c>
      <c r="G26" s="43" t="s">
        <v>71</v>
      </c>
      <c r="H26" s="43" t="s">
        <v>54</v>
      </c>
      <c r="I26" s="45" t="s">
        <v>49</v>
      </c>
      <c r="J26" s="46">
        <f t="shared" si="4"/>
        <v>0.5</v>
      </c>
      <c r="K26" s="44" t="s">
        <v>64</v>
      </c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18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25"/>
      <c r="AZ26" s="25"/>
      <c r="BA26" s="25"/>
      <c r="BB26" s="25"/>
      <c r="BC26" s="26"/>
      <c r="BD26" s="26"/>
      <c r="BE26" s="26"/>
    </row>
    <row r="27" ht="16.5" customHeight="1">
      <c r="B27" s="53" t="s">
        <v>74</v>
      </c>
      <c r="C27" s="39" t="s">
        <v>75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5"/>
      <c r="AY27" s="25"/>
      <c r="AZ27" s="25"/>
      <c r="BA27" s="25"/>
      <c r="BB27" s="25"/>
      <c r="BC27" s="26"/>
      <c r="BD27" s="26"/>
      <c r="BE27" s="26"/>
    </row>
    <row r="28" ht="16.5" customHeight="1">
      <c r="B28" s="42"/>
      <c r="C28" s="40"/>
      <c r="D28" s="40" t="s">
        <v>76</v>
      </c>
      <c r="E28" s="40" t="s">
        <v>31</v>
      </c>
      <c r="F28" s="43" t="s">
        <v>77</v>
      </c>
      <c r="G28" s="43" t="s">
        <v>71</v>
      </c>
      <c r="H28" s="43" t="s">
        <v>52</v>
      </c>
      <c r="I28" s="45" t="s">
        <v>43</v>
      </c>
      <c r="J28" s="46">
        <f t="shared" ref="J28:J32" si="5">IF(K28="완료", 1, IF(K28="진행 중", 0.5, IF(K28="미완료", 0, "")))</f>
        <v>1</v>
      </c>
      <c r="K28" s="44" t="s">
        <v>44</v>
      </c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18"/>
      <c r="AA28" s="18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25"/>
      <c r="AZ28" s="25"/>
      <c r="BA28" s="25"/>
      <c r="BB28" s="25"/>
      <c r="BC28" s="26"/>
      <c r="BD28" s="26"/>
      <c r="BE28" s="26"/>
    </row>
    <row r="29" ht="16.5" customHeight="1">
      <c r="B29" s="42"/>
      <c r="C29" s="40"/>
      <c r="D29" s="54" t="s">
        <v>78</v>
      </c>
      <c r="E29" s="43" t="s">
        <v>32</v>
      </c>
      <c r="F29" s="43" t="s">
        <v>71</v>
      </c>
      <c r="G29" s="43" t="s">
        <v>79</v>
      </c>
      <c r="H29" s="43" t="s">
        <v>42</v>
      </c>
      <c r="I29" s="45" t="s">
        <v>43</v>
      </c>
      <c r="J29" s="46">
        <f t="shared" si="5"/>
        <v>0</v>
      </c>
      <c r="K29" s="44" t="s">
        <v>80</v>
      </c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18"/>
      <c r="AB29" s="18"/>
      <c r="AC29" s="18"/>
      <c r="AD29" s="18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25"/>
      <c r="AZ29" s="25"/>
      <c r="BA29" s="25"/>
      <c r="BB29" s="25"/>
      <c r="BC29" s="26"/>
      <c r="BD29" s="26"/>
      <c r="BE29" s="26"/>
    </row>
    <row r="30" ht="16.5" customHeight="1">
      <c r="B30" s="42"/>
      <c r="C30" s="40"/>
      <c r="D30" s="40" t="s">
        <v>81</v>
      </c>
      <c r="E30" s="40" t="s">
        <v>32</v>
      </c>
      <c r="F30" s="43" t="s">
        <v>71</v>
      </c>
      <c r="G30" s="43" t="s">
        <v>9</v>
      </c>
      <c r="H30" s="43" t="s">
        <v>82</v>
      </c>
      <c r="I30" s="45" t="s">
        <v>43</v>
      </c>
      <c r="J30" s="46">
        <f t="shared" si="5"/>
        <v>0</v>
      </c>
      <c r="K30" s="44" t="s">
        <v>80</v>
      </c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18"/>
      <c r="AB30" s="18"/>
      <c r="AC30" s="18"/>
      <c r="AD30" s="18"/>
      <c r="AE30" s="18"/>
      <c r="AF30" s="18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25"/>
      <c r="AZ30" s="25"/>
      <c r="BA30" s="25"/>
      <c r="BB30" s="25"/>
      <c r="BC30" s="26"/>
      <c r="BD30" s="26"/>
      <c r="BE30" s="26"/>
    </row>
    <row r="31" ht="16.5" customHeight="1">
      <c r="B31" s="42"/>
      <c r="C31" s="40"/>
      <c r="D31" s="40" t="s">
        <v>83</v>
      </c>
      <c r="E31" s="40" t="s">
        <v>32</v>
      </c>
      <c r="F31" s="44" t="s">
        <v>84</v>
      </c>
      <c r="G31" s="43" t="s">
        <v>79</v>
      </c>
      <c r="H31" s="43" t="s">
        <v>52</v>
      </c>
      <c r="I31" s="45" t="s">
        <v>49</v>
      </c>
      <c r="J31" s="46">
        <f t="shared" si="5"/>
        <v>1</v>
      </c>
      <c r="K31" s="44" t="s">
        <v>44</v>
      </c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8"/>
      <c r="AD31" s="18"/>
      <c r="AE31" s="52"/>
      <c r="AF31" s="52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25"/>
      <c r="AZ31" s="25"/>
      <c r="BA31" s="25"/>
      <c r="BB31" s="25"/>
      <c r="BC31" s="26"/>
      <c r="BD31" s="26"/>
      <c r="BE31" s="26"/>
    </row>
    <row r="32" ht="16.5" customHeight="1">
      <c r="B32" s="42"/>
      <c r="C32" s="40"/>
      <c r="D32" s="40" t="s">
        <v>85</v>
      </c>
      <c r="E32" s="40" t="s">
        <v>32</v>
      </c>
      <c r="F32" s="43" t="s">
        <v>79</v>
      </c>
      <c r="G32" s="43" t="s">
        <v>86</v>
      </c>
      <c r="H32" s="43" t="s">
        <v>52</v>
      </c>
      <c r="I32" s="45" t="s">
        <v>49</v>
      </c>
      <c r="J32" s="46">
        <f t="shared" si="5"/>
        <v>0</v>
      </c>
      <c r="K32" s="44" t="s">
        <v>80</v>
      </c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8"/>
      <c r="AE32" s="48"/>
      <c r="AF32" s="52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25"/>
      <c r="AZ32" s="25"/>
      <c r="BA32" s="25"/>
      <c r="BB32" s="25"/>
      <c r="BC32" s="26"/>
      <c r="BD32" s="26"/>
      <c r="BE32" s="26"/>
    </row>
    <row r="33" ht="16.5" customHeight="1">
      <c r="B33" s="42"/>
      <c r="C33" s="55" t="s">
        <v>87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5"/>
      <c r="AY33" s="25"/>
      <c r="AZ33" s="25"/>
      <c r="BA33" s="25"/>
      <c r="BB33" s="25"/>
      <c r="BC33" s="26"/>
      <c r="BD33" s="26"/>
      <c r="BE33" s="26"/>
    </row>
    <row r="34" ht="16.5" customHeight="1">
      <c r="B34" s="42"/>
      <c r="C34" s="40"/>
      <c r="D34" s="54" t="s">
        <v>88</v>
      </c>
      <c r="E34" s="40" t="s">
        <v>32</v>
      </c>
      <c r="F34" s="43" t="s">
        <v>79</v>
      </c>
      <c r="G34" s="43" t="s">
        <v>9</v>
      </c>
      <c r="H34" s="43" t="s">
        <v>48</v>
      </c>
      <c r="I34" s="45" t="s">
        <v>43</v>
      </c>
      <c r="J34" s="46">
        <f t="shared" ref="J34:J38" si="6">IF(K34="완료", 1, IF(K34="진행 중", 0.5, IF(K34="미완료", 0, "")))</f>
        <v>0</v>
      </c>
      <c r="K34" s="44" t="s">
        <v>80</v>
      </c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18"/>
      <c r="AE34" s="18"/>
      <c r="AF34" s="18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25"/>
      <c r="AZ34" s="25"/>
      <c r="BA34" s="25"/>
      <c r="BB34" s="25"/>
      <c r="BC34" s="26"/>
      <c r="BD34" s="26"/>
      <c r="BE34" s="26"/>
    </row>
    <row r="35" ht="16.5" customHeight="1">
      <c r="B35" s="42"/>
      <c r="C35" s="50"/>
      <c r="D35" s="44" t="s">
        <v>89</v>
      </c>
      <c r="E35" s="44" t="s">
        <v>32</v>
      </c>
      <c r="F35" s="44" t="s">
        <v>86</v>
      </c>
      <c r="G35" s="44" t="s">
        <v>9</v>
      </c>
      <c r="H35" s="44" t="s">
        <v>52</v>
      </c>
      <c r="I35" s="45" t="s">
        <v>43</v>
      </c>
      <c r="J35" s="46">
        <f t="shared" si="6"/>
        <v>0</v>
      </c>
      <c r="K35" s="44" t="s">
        <v>80</v>
      </c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18"/>
      <c r="AF35" s="18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25"/>
      <c r="AZ35" s="25"/>
      <c r="BA35" s="25"/>
      <c r="BB35" s="25"/>
      <c r="BC35" s="26"/>
      <c r="BD35" s="26"/>
      <c r="BE35" s="26"/>
    </row>
    <row r="36" ht="16.5" customHeight="1">
      <c r="B36" s="42"/>
      <c r="C36" s="40"/>
      <c r="D36" s="40" t="s">
        <v>90</v>
      </c>
      <c r="E36" s="40" t="s">
        <v>32</v>
      </c>
      <c r="F36" s="43" t="s">
        <v>9</v>
      </c>
      <c r="G36" s="43" t="s">
        <v>9</v>
      </c>
      <c r="H36" s="43" t="s">
        <v>54</v>
      </c>
      <c r="I36" s="45" t="s">
        <v>49</v>
      </c>
      <c r="J36" s="46">
        <f t="shared" si="6"/>
        <v>0</v>
      </c>
      <c r="K36" s="44" t="s">
        <v>80</v>
      </c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18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25"/>
      <c r="AZ36" s="25"/>
      <c r="BA36" s="25"/>
      <c r="BB36" s="25"/>
      <c r="BC36" s="26"/>
      <c r="BD36" s="26"/>
      <c r="BE36" s="26"/>
    </row>
    <row r="37" ht="16.5" customHeight="1">
      <c r="B37" s="42"/>
      <c r="C37" s="50"/>
      <c r="D37" s="44" t="s">
        <v>4</v>
      </c>
      <c r="E37" s="44" t="s">
        <v>33</v>
      </c>
      <c r="F37" s="44" t="s">
        <v>9</v>
      </c>
      <c r="G37" s="44" t="s">
        <v>9</v>
      </c>
      <c r="H37" s="44" t="s">
        <v>54</v>
      </c>
      <c r="I37" s="45" t="s">
        <v>43</v>
      </c>
      <c r="J37" s="46">
        <f t="shared" si="6"/>
        <v>0</v>
      </c>
      <c r="K37" s="44" t="s">
        <v>80</v>
      </c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18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25"/>
      <c r="AZ37" s="25"/>
      <c r="BA37" s="25"/>
      <c r="BB37" s="25"/>
      <c r="BC37" s="26"/>
      <c r="BD37" s="26"/>
      <c r="BE37" s="26"/>
    </row>
    <row r="38" ht="16.5" customHeight="1">
      <c r="B38" s="42"/>
      <c r="C38" s="40"/>
      <c r="D38" s="40" t="s">
        <v>91</v>
      </c>
      <c r="E38" s="40" t="s">
        <v>33</v>
      </c>
      <c r="F38" s="43" t="s">
        <v>92</v>
      </c>
      <c r="G38" s="43" t="s">
        <v>92</v>
      </c>
      <c r="H38" s="43" t="s">
        <v>54</v>
      </c>
      <c r="I38" s="45" t="s">
        <v>49</v>
      </c>
      <c r="J38" s="46">
        <f t="shared" si="6"/>
        <v>0</v>
      </c>
      <c r="K38" s="44" t="s">
        <v>80</v>
      </c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18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25"/>
      <c r="AZ38" s="25"/>
      <c r="BA38" s="25"/>
      <c r="BB38" s="25"/>
      <c r="BC38" s="26"/>
      <c r="BD38" s="26"/>
      <c r="BE38" s="26"/>
    </row>
    <row r="39" ht="16.5" customHeight="1">
      <c r="B39" s="42"/>
      <c r="C39" s="39" t="s">
        <v>93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5"/>
      <c r="AY39" s="25"/>
      <c r="AZ39" s="25"/>
      <c r="BA39" s="25"/>
      <c r="BB39" s="25"/>
      <c r="BC39" s="26"/>
      <c r="BD39" s="26"/>
      <c r="BE39" s="26"/>
    </row>
    <row r="40" ht="16.5" customHeight="1">
      <c r="B40" s="42"/>
      <c r="C40" s="40"/>
      <c r="D40" s="43" t="s">
        <v>94</v>
      </c>
      <c r="E40" s="43" t="s">
        <v>33</v>
      </c>
      <c r="F40" s="43" t="s">
        <v>95</v>
      </c>
      <c r="G40" s="43" t="s">
        <v>96</v>
      </c>
      <c r="H40" s="43" t="s">
        <v>42</v>
      </c>
      <c r="I40" s="45" t="s">
        <v>43</v>
      </c>
      <c r="J40" s="46">
        <f t="shared" ref="J40:J44" si="7">IF(K40="완료", 1, IF(K40="진행 중", 0.5, IF(K40="미완료", 0, "")))</f>
        <v>0</v>
      </c>
      <c r="K40" s="44" t="s">
        <v>80</v>
      </c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18"/>
      <c r="AI40" s="18"/>
      <c r="AJ40" s="18"/>
      <c r="AK40" s="18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25"/>
      <c r="AZ40" s="25"/>
      <c r="BA40" s="25"/>
      <c r="BB40" s="25"/>
      <c r="BC40" s="26"/>
      <c r="BD40" s="26"/>
      <c r="BE40" s="26"/>
    </row>
    <row r="41" ht="16.5" customHeight="1">
      <c r="B41" s="42"/>
      <c r="C41" s="40"/>
      <c r="D41" s="43" t="s">
        <v>97</v>
      </c>
      <c r="E41" s="40" t="s">
        <v>34</v>
      </c>
      <c r="F41" s="43" t="s">
        <v>96</v>
      </c>
      <c r="G41" s="43" t="s">
        <v>98</v>
      </c>
      <c r="H41" s="43" t="s">
        <v>52</v>
      </c>
      <c r="I41" s="45" t="s">
        <v>43</v>
      </c>
      <c r="J41" s="46">
        <f t="shared" si="7"/>
        <v>0</v>
      </c>
      <c r="K41" s="44" t="s">
        <v>80</v>
      </c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18"/>
      <c r="AL41" s="18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25"/>
      <c r="AZ41" s="25"/>
      <c r="BA41" s="25"/>
      <c r="BB41" s="25"/>
      <c r="BC41" s="26"/>
      <c r="BD41" s="26"/>
      <c r="BE41" s="26"/>
    </row>
    <row r="42" ht="16.5" customHeight="1">
      <c r="B42" s="42"/>
      <c r="C42" s="40"/>
      <c r="D42" s="40" t="s">
        <v>99</v>
      </c>
      <c r="E42" s="43" t="s">
        <v>34</v>
      </c>
      <c r="F42" s="43" t="s">
        <v>96</v>
      </c>
      <c r="G42" s="43" t="s">
        <v>100</v>
      </c>
      <c r="H42" s="43" t="s">
        <v>101</v>
      </c>
      <c r="I42" s="45" t="s">
        <v>43</v>
      </c>
      <c r="J42" s="46">
        <f t="shared" si="7"/>
        <v>0</v>
      </c>
      <c r="K42" s="44" t="s">
        <v>80</v>
      </c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18"/>
      <c r="AL42" s="18"/>
      <c r="AM42" s="18"/>
      <c r="AN42" s="18"/>
      <c r="AO42" s="18"/>
      <c r="AP42" s="18"/>
      <c r="AQ42" s="18"/>
      <c r="AR42" s="18"/>
      <c r="AS42" s="52"/>
      <c r="AT42" s="52"/>
      <c r="AU42" s="40"/>
      <c r="AV42" s="40"/>
      <c r="AW42" s="40"/>
      <c r="AX42" s="40"/>
      <c r="AY42" s="25"/>
      <c r="AZ42" s="25"/>
      <c r="BA42" s="25"/>
      <c r="BB42" s="25"/>
      <c r="BC42" s="26"/>
      <c r="BD42" s="26"/>
      <c r="BE42" s="26"/>
    </row>
    <row r="43" ht="16.5" customHeight="1">
      <c r="B43" s="42"/>
      <c r="C43" s="40"/>
      <c r="D43" s="40" t="s">
        <v>102</v>
      </c>
      <c r="E43" s="40" t="s">
        <v>34</v>
      </c>
      <c r="F43" s="43" t="s">
        <v>96</v>
      </c>
      <c r="G43" s="43" t="s">
        <v>103</v>
      </c>
      <c r="H43" s="43" t="s">
        <v>104</v>
      </c>
      <c r="I43" s="45" t="s">
        <v>43</v>
      </c>
      <c r="J43" s="46">
        <f t="shared" si="7"/>
        <v>0</v>
      </c>
      <c r="K43" s="44" t="s">
        <v>80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8"/>
      <c r="AL43" s="48"/>
      <c r="AM43" s="18"/>
      <c r="AN43" s="18"/>
      <c r="AO43" s="18"/>
      <c r="AP43" s="18"/>
      <c r="AQ43" s="18"/>
      <c r="AR43" s="18"/>
      <c r="AS43" s="18"/>
      <c r="AT43" s="18"/>
      <c r="AU43" s="40"/>
      <c r="AV43" s="40"/>
      <c r="AW43" s="40"/>
      <c r="AX43" s="40"/>
      <c r="AY43" s="25"/>
      <c r="AZ43" s="25"/>
      <c r="BA43" s="25"/>
      <c r="BB43" s="25"/>
      <c r="BC43" s="26"/>
      <c r="BD43" s="26"/>
      <c r="BE43" s="26"/>
    </row>
    <row r="44" ht="16.5" customHeight="1">
      <c r="B44" s="56"/>
      <c r="C44" s="40"/>
      <c r="D44" s="40" t="s">
        <v>105</v>
      </c>
      <c r="E44" s="40" t="s">
        <v>34</v>
      </c>
      <c r="F44" s="43" t="s">
        <v>106</v>
      </c>
      <c r="G44" s="43" t="s">
        <v>107</v>
      </c>
      <c r="H44" s="43" t="s">
        <v>52</v>
      </c>
      <c r="I44" s="45" t="s">
        <v>43</v>
      </c>
      <c r="J44" s="46">
        <f t="shared" si="7"/>
        <v>0</v>
      </c>
      <c r="K44" s="44" t="s">
        <v>80</v>
      </c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18"/>
      <c r="AO44" s="18"/>
      <c r="AP44" s="49"/>
      <c r="AQ44" s="49"/>
      <c r="AR44" s="49"/>
      <c r="AS44" s="49"/>
      <c r="AV44" s="40"/>
      <c r="AW44" s="40"/>
      <c r="AX44" s="40"/>
      <c r="AY44" s="25"/>
      <c r="AZ44" s="25"/>
      <c r="BA44" s="25"/>
      <c r="BB44" s="25"/>
      <c r="BC44" s="26"/>
      <c r="BD44" s="26"/>
      <c r="BE44" s="26"/>
    </row>
    <row r="45" ht="16.5" customHeight="1">
      <c r="B45" s="57" t="s">
        <v>108</v>
      </c>
      <c r="C45" s="39" t="s">
        <v>109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5"/>
      <c r="AY45" s="25"/>
      <c r="AZ45" s="25"/>
      <c r="BA45" s="25"/>
      <c r="BB45" s="25"/>
      <c r="BC45" s="26"/>
      <c r="BD45" s="26"/>
      <c r="BE45" s="26"/>
    </row>
    <row r="46" ht="16.5" customHeight="1">
      <c r="B46" s="42"/>
      <c r="C46" s="40"/>
      <c r="D46" s="40" t="s">
        <v>110</v>
      </c>
      <c r="E46" s="43" t="s">
        <v>35</v>
      </c>
      <c r="F46" s="43" t="s">
        <v>111</v>
      </c>
      <c r="G46" s="43" t="s">
        <v>112</v>
      </c>
      <c r="H46" s="43" t="s">
        <v>82</v>
      </c>
      <c r="I46" s="45" t="s">
        <v>43</v>
      </c>
      <c r="J46" s="46">
        <f t="shared" ref="J46:J49" si="8">IF(K46="완료", 1, IF(K46="진행 중", 0.5, IF(K46="미완료", 0, "")))</f>
        <v>0</v>
      </c>
      <c r="K46" s="44" t="s">
        <v>80</v>
      </c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18"/>
      <c r="AQ46" s="18"/>
      <c r="AR46" s="18"/>
      <c r="AS46" s="18"/>
      <c r="AT46" s="18"/>
      <c r="AU46" s="18"/>
      <c r="AV46" s="40"/>
      <c r="AW46" s="40"/>
      <c r="AX46" s="40"/>
      <c r="AY46" s="25"/>
      <c r="AZ46" s="25"/>
      <c r="BA46" s="25"/>
      <c r="BB46" s="25"/>
      <c r="BC46" s="26"/>
      <c r="BD46" s="26"/>
      <c r="BE46" s="26"/>
    </row>
    <row r="47" ht="16.5" customHeight="1">
      <c r="B47" s="42"/>
      <c r="C47" s="40"/>
      <c r="D47" s="54" t="s">
        <v>113</v>
      </c>
      <c r="E47" s="40" t="s">
        <v>35</v>
      </c>
      <c r="F47" s="43" t="s">
        <v>114</v>
      </c>
      <c r="G47" s="43" t="s">
        <v>112</v>
      </c>
      <c r="H47" s="43" t="s">
        <v>48</v>
      </c>
      <c r="I47" s="45" t="s">
        <v>43</v>
      </c>
      <c r="J47" s="46">
        <f t="shared" si="8"/>
        <v>0</v>
      </c>
      <c r="K47" s="44" t="s">
        <v>80</v>
      </c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18"/>
      <c r="AT47" s="18"/>
      <c r="AU47" s="18"/>
      <c r="AV47" s="40"/>
      <c r="AW47" s="40"/>
      <c r="AX47" s="40"/>
      <c r="AY47" s="25"/>
      <c r="AZ47" s="25"/>
      <c r="BA47" s="25"/>
      <c r="BB47" s="25"/>
      <c r="BC47" s="26"/>
      <c r="BD47" s="26"/>
      <c r="BE47" s="26"/>
    </row>
    <row r="48" ht="16.5" customHeight="1">
      <c r="B48" s="42"/>
      <c r="C48" s="40"/>
      <c r="D48" s="40" t="s">
        <v>115</v>
      </c>
      <c r="E48" s="43" t="s">
        <v>35</v>
      </c>
      <c r="F48" s="43" t="s">
        <v>114</v>
      </c>
      <c r="G48" s="43" t="s">
        <v>103</v>
      </c>
      <c r="H48" s="43" t="s">
        <v>52</v>
      </c>
      <c r="I48" s="45" t="s">
        <v>43</v>
      </c>
      <c r="J48" s="46">
        <f t="shared" si="8"/>
        <v>0</v>
      </c>
      <c r="K48" s="44" t="s">
        <v>80</v>
      </c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Q48" s="40"/>
      <c r="AR48" s="40"/>
      <c r="AS48" s="18"/>
      <c r="AT48" s="18"/>
      <c r="AV48" s="40"/>
      <c r="AW48" s="40"/>
      <c r="AX48" s="40"/>
      <c r="AY48" s="25"/>
      <c r="AZ48" s="25"/>
      <c r="BA48" s="25"/>
      <c r="BB48" s="25"/>
      <c r="BC48" s="26"/>
      <c r="BD48" s="26"/>
      <c r="BE48" s="26"/>
    </row>
    <row r="49" ht="16.5" customHeight="1">
      <c r="B49" s="42"/>
      <c r="C49" s="40"/>
      <c r="D49" s="58" t="s">
        <v>116</v>
      </c>
      <c r="E49" s="40" t="s">
        <v>35</v>
      </c>
      <c r="F49" s="43" t="s">
        <v>103</v>
      </c>
      <c r="G49" s="43" t="s">
        <v>112</v>
      </c>
      <c r="H49" s="43" t="s">
        <v>52</v>
      </c>
      <c r="I49" s="45" t="s">
        <v>49</v>
      </c>
      <c r="J49" s="46">
        <f t="shared" si="8"/>
        <v>0</v>
      </c>
      <c r="K49" s="44" t="s">
        <v>80</v>
      </c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18"/>
      <c r="AU49" s="18"/>
      <c r="AV49" s="40"/>
      <c r="AW49" s="40"/>
      <c r="AX49" s="40"/>
      <c r="AY49" s="25"/>
      <c r="AZ49" s="25"/>
      <c r="BA49" s="25"/>
      <c r="BB49" s="25"/>
      <c r="BC49" s="26"/>
      <c r="BD49" s="26"/>
      <c r="BE49" s="26"/>
    </row>
    <row r="50" ht="16.5" customHeight="1">
      <c r="B50" s="53" t="s">
        <v>117</v>
      </c>
      <c r="C50" s="55" t="s">
        <v>118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5"/>
      <c r="AY50" s="25"/>
      <c r="AZ50" s="25"/>
      <c r="BA50" s="25"/>
      <c r="BB50" s="25"/>
      <c r="BC50" s="26"/>
      <c r="BD50" s="26"/>
      <c r="BE50" s="26"/>
    </row>
    <row r="51" ht="16.5" customHeight="1">
      <c r="B51" s="42"/>
      <c r="C51" s="40"/>
      <c r="D51" s="40" t="s">
        <v>119</v>
      </c>
      <c r="E51" s="40" t="s">
        <v>36</v>
      </c>
      <c r="F51" s="43" t="s">
        <v>100</v>
      </c>
      <c r="G51" s="43" t="s">
        <v>120</v>
      </c>
      <c r="H51" s="43" t="s">
        <v>48</v>
      </c>
      <c r="I51" s="45" t="s">
        <v>49</v>
      </c>
      <c r="J51" s="46">
        <f t="shared" ref="J51:J53" si="9">IF(K51="완료", 1, IF(K51="진행 중", 0.5, IF(K51="미완료", 0, "")))</f>
        <v>0</v>
      </c>
      <c r="K51" s="44" t="s">
        <v>80</v>
      </c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52"/>
      <c r="AR51" s="40"/>
      <c r="AS51" s="52"/>
      <c r="AT51" s="18"/>
      <c r="AU51" s="18"/>
      <c r="AV51" s="18"/>
      <c r="AW51" s="40"/>
      <c r="AX51" s="40"/>
      <c r="AY51" s="25"/>
      <c r="AZ51" s="25"/>
      <c r="BA51" s="25"/>
      <c r="BB51" s="25"/>
      <c r="BC51" s="26"/>
      <c r="BD51" s="26"/>
      <c r="BE51" s="26"/>
    </row>
    <row r="52" ht="16.5" customHeight="1">
      <c r="B52" s="42"/>
      <c r="C52" s="40"/>
      <c r="D52" s="40" t="s">
        <v>121</v>
      </c>
      <c r="E52" s="40" t="s">
        <v>36</v>
      </c>
      <c r="F52" s="43" t="s">
        <v>120</v>
      </c>
      <c r="G52" s="43" t="s">
        <v>122</v>
      </c>
      <c r="H52" s="43" t="s">
        <v>52</v>
      </c>
      <c r="I52" s="45" t="s">
        <v>49</v>
      </c>
      <c r="J52" s="46">
        <f t="shared" si="9"/>
        <v>0</v>
      </c>
      <c r="K52" s="44" t="s">
        <v>80</v>
      </c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18"/>
      <c r="AW52" s="18"/>
      <c r="AX52" s="40"/>
      <c r="AY52" s="25"/>
      <c r="AZ52" s="25"/>
      <c r="BA52" s="25"/>
      <c r="BB52" s="25"/>
      <c r="BC52" s="26"/>
      <c r="BD52" s="26"/>
      <c r="BE52" s="26"/>
    </row>
    <row r="53" ht="16.5" customHeight="1">
      <c r="B53" s="56"/>
      <c r="C53" s="40"/>
      <c r="D53" s="59" t="s">
        <v>13</v>
      </c>
      <c r="E53" s="54" t="s">
        <v>36</v>
      </c>
      <c r="F53" s="43" t="s">
        <v>8</v>
      </c>
      <c r="G53" s="43" t="s">
        <v>8</v>
      </c>
      <c r="H53" s="43" t="s">
        <v>54</v>
      </c>
      <c r="I53" s="45" t="s">
        <v>43</v>
      </c>
      <c r="J53" s="46">
        <f t="shared" si="9"/>
        <v>0</v>
      </c>
      <c r="K53" s="44" t="s">
        <v>80</v>
      </c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18"/>
      <c r="AY53" s="25"/>
      <c r="AZ53" s="25"/>
      <c r="BA53" s="25"/>
      <c r="BB53" s="25"/>
      <c r="BC53" s="26"/>
      <c r="BD53" s="26"/>
      <c r="BE53" s="26"/>
    </row>
    <row r="54" ht="16.5" customHeight="1">
      <c r="AY54" s="25"/>
      <c r="AZ54" s="25"/>
      <c r="BA54" s="25"/>
      <c r="BB54" s="25"/>
      <c r="BC54" s="26"/>
      <c r="BD54" s="26"/>
      <c r="BE54" s="26"/>
    </row>
    <row r="55" ht="16.5" customHeight="1">
      <c r="AY55" s="25"/>
      <c r="AZ55" s="25"/>
      <c r="BA55" s="25"/>
      <c r="BB55" s="25"/>
      <c r="BC55" s="26"/>
      <c r="BD55" s="26"/>
      <c r="BE55" s="26"/>
    </row>
    <row r="56" ht="16.5" customHeight="1">
      <c r="AY56" s="25"/>
      <c r="AZ56" s="25"/>
      <c r="BA56" s="25"/>
      <c r="BB56" s="25"/>
      <c r="BC56" s="26"/>
      <c r="BD56" s="26"/>
      <c r="BE56" s="26"/>
    </row>
    <row r="57" ht="16.5" customHeight="1">
      <c r="B57" s="60"/>
      <c r="C57" s="61"/>
      <c r="D57" s="61"/>
      <c r="E57" s="61"/>
      <c r="F57" s="61"/>
      <c r="G57" s="61"/>
      <c r="H57" s="61"/>
      <c r="I57" s="61"/>
      <c r="J57" s="61"/>
      <c r="K57" s="61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6"/>
      <c r="BD57" s="26"/>
      <c r="BE57" s="26"/>
    </row>
    <row r="58" ht="16.5" customHeight="1">
      <c r="B58" s="60"/>
      <c r="C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6"/>
      <c r="BD58" s="26"/>
      <c r="BE58" s="26"/>
    </row>
    <row r="59" ht="16.5" customHeight="1">
      <c r="B59" s="60"/>
      <c r="C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6"/>
      <c r="BD59" s="26"/>
      <c r="BE59" s="26"/>
    </row>
    <row r="60" ht="16.5" customHeight="1">
      <c r="B60" s="62"/>
      <c r="C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25"/>
      <c r="AT60" s="25"/>
      <c r="AU60" s="25"/>
      <c r="AV60" s="25"/>
      <c r="AW60" s="25"/>
      <c r="AX60" s="25"/>
      <c r="AY60" s="62"/>
      <c r="AZ60" s="62"/>
      <c r="BA60" s="62"/>
      <c r="BB60" s="62"/>
    </row>
    <row r="61" ht="16.5" customHeight="1">
      <c r="B61" s="62"/>
      <c r="C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</row>
    <row r="62" ht="16.5" customHeight="1">
      <c r="B62" s="62"/>
      <c r="C62" s="62"/>
      <c r="AV62" s="62"/>
      <c r="AW62" s="62"/>
      <c r="AX62" s="62"/>
      <c r="AY62" s="62"/>
      <c r="AZ62" s="62"/>
      <c r="BA62" s="62"/>
      <c r="BB62" s="62"/>
    </row>
    <row r="63" ht="16.5" customHeight="1">
      <c r="B63" s="62"/>
      <c r="C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</row>
    <row r="64" ht="16.5" customHeight="1">
      <c r="B64" s="62"/>
      <c r="C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</row>
    <row r="65" ht="16.5" customHeight="1"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</row>
    <row r="66" ht="16.5" customHeight="1">
      <c r="B66" s="62"/>
      <c r="C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</row>
    <row r="67" ht="16.5" customHeight="1"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</row>
    <row r="68" ht="16.5" customHeight="1"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</row>
    <row r="69" ht="16.5" customHeight="1"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</row>
    <row r="70" ht="16.5" customHeight="1">
      <c r="B70" s="62"/>
      <c r="AY70" s="62"/>
      <c r="AZ70" s="62"/>
      <c r="BA70" s="62"/>
      <c r="BB70" s="62"/>
    </row>
    <row r="71" ht="16.5" customHeight="1"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</row>
    <row r="72" ht="16.5" customHeight="1"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</row>
    <row r="73" ht="16.5" customHeight="1"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</row>
    <row r="74" ht="16.5" customHeight="1"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</row>
    <row r="75" ht="16.5" customHeight="1"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</row>
    <row r="76" ht="16.5" customHeight="1"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</row>
    <row r="77" ht="16.5" customHeight="1"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</row>
    <row r="78" ht="16.5" customHeight="1"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</row>
    <row r="79" ht="16.5" customHeight="1"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</row>
    <row r="80" ht="16.5" customHeight="1"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</row>
    <row r="81" ht="16.5" customHeight="1"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</row>
    <row r="82" ht="16.5" customHeight="1"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</row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</sheetData>
  <mergeCells count="54">
    <mergeCell ref="H7:H9"/>
    <mergeCell ref="C10:K10"/>
    <mergeCell ref="C17:AX17"/>
    <mergeCell ref="C20:AX20"/>
    <mergeCell ref="C24:AX24"/>
    <mergeCell ref="C27:AX27"/>
    <mergeCell ref="C33:AX33"/>
    <mergeCell ref="C39:AX39"/>
    <mergeCell ref="C45:AX45"/>
    <mergeCell ref="C50:AX50"/>
    <mergeCell ref="I7:I9"/>
    <mergeCell ref="J7:J9"/>
    <mergeCell ref="K7:K9"/>
    <mergeCell ref="M7:P7"/>
    <mergeCell ref="M8:P8"/>
    <mergeCell ref="Q8:U8"/>
    <mergeCell ref="V8:Z8"/>
    <mergeCell ref="B20:B26"/>
    <mergeCell ref="B27:B44"/>
    <mergeCell ref="B45:B49"/>
    <mergeCell ref="B50:B53"/>
    <mergeCell ref="B7:B9"/>
    <mergeCell ref="C7:C9"/>
    <mergeCell ref="D7:D9"/>
    <mergeCell ref="E7:E9"/>
    <mergeCell ref="F7:F9"/>
    <mergeCell ref="G7:G9"/>
    <mergeCell ref="B10:B19"/>
    <mergeCell ref="U3:V3"/>
    <mergeCell ref="W3:X3"/>
    <mergeCell ref="AD2:AE2"/>
    <mergeCell ref="AD3:AE3"/>
    <mergeCell ref="AD4:AE4"/>
    <mergeCell ref="AD5:AE5"/>
    <mergeCell ref="Q4:R4"/>
    <mergeCell ref="S4:T4"/>
    <mergeCell ref="U4:V4"/>
    <mergeCell ref="W4:X4"/>
    <mergeCell ref="Q5:X5"/>
    <mergeCell ref="Q7:AJ7"/>
    <mergeCell ref="AK7:AX7"/>
    <mergeCell ref="Z5:AA5"/>
    <mergeCell ref="Z4:AA4"/>
    <mergeCell ref="B2:O5"/>
    <mergeCell ref="Q2:R2"/>
    <mergeCell ref="S2:X2"/>
    <mergeCell ref="Q3:R3"/>
    <mergeCell ref="S3:T3"/>
    <mergeCell ref="Z2:AB3"/>
    <mergeCell ref="AA8:AE8"/>
    <mergeCell ref="AF8:AJ8"/>
    <mergeCell ref="AK8:AO8"/>
    <mergeCell ref="AP8:AT8"/>
    <mergeCell ref="AU8:AX8"/>
  </mergeCells>
  <dataValidations>
    <dataValidation type="list" allowBlank="1" showErrorMessage="1" sqref="K11:K16 K18:K19 K21:K23 K25:K26 K28:K32 K34:K38 K40:K44 K46:K49 K51:K53">
      <formula1>"완료,진행 중,미완료"</formula1>
    </dataValidation>
    <dataValidation type="list" allowBlank="1" showErrorMessage="1" sqref="I11:I16 I18:I19 I21:I23 I25:I26 I28:I32 I34:I38 I40:I44 I46:I49 I51:I53">
      <formula1>"상,중,하"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2025-10-31T01:27:28Z</dcterms:created>
</cp:coreProperties>
</file>